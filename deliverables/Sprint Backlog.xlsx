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<sst xmlns="http://schemas.openxmlformats.org/spreadsheetml/2006/main" count="76" uniqueCount="42">
  <si>
    <t>ITSC-3155 Software Engineering</t>
  </si>
  <si>
    <t>Sprint 1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</si>
  <si>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</si>
  <si>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</si>
  <si>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</si>
  <si>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</si>
  <si>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</si>
  <si>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</si>
  <si>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</si>
  <si>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</si>
  <si>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</si>
  <si>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</si>
  <si>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</si>
  <si>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</si>
  <si>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Sprint 1 : 4/13 - 4/19</t>
  </si>
  <si>
    <t>2.0 - Menu Management</t>
  </si>
  <si>
    <t>To Do</t>
  </si>
  <si>
    <t>Add CRUD router for sandwiches</t>
  </si>
  <si>
    <t>Charlie</t>
  </si>
  <si>
    <t>Done</t>
  </si>
  <si>
    <t>Add CRUD controller and router for Recipes</t>
  </si>
  <si>
    <t>Ethan</t>
  </si>
  <si>
    <t>Add CRUD controller and router for Resources</t>
  </si>
  <si>
    <t>Fix Payment schema/controller mismatch</t>
  </si>
  <si>
    <t>TOTAL</t>
  </si>
  <si>
    <t>Sprint 2 Backlog</t>
  </si>
  <si>
    <t>1.1 - Menu Browsing</t>
  </si>
  <si>
    <t>Add category filter to GET /sandwiches</t>
  </si>
  <si>
    <t>8.1 - Reviews &amp; Ratings</t>
  </si>
  <si>
    <t>Add GET /ratings/low endpoint</t>
  </si>
  <si>
    <t>7.0 - Chef Order View</t>
  </si>
  <si>
    <t>Add GET /resources/low endpoint</t>
  </si>
  <si>
    <t>9.1 - Promotions &amp; Promo Codes</t>
  </si>
  <si>
    <t>Add POST /orders/{order_id}/apply-promo</t>
  </si>
  <si>
    <t>6.0 - Staff Order View</t>
  </si>
  <si>
    <t>Add date-range filtering to GET /orders</t>
  </si>
  <si>
    <t>10.0 - Data Analytics</t>
  </si>
  <si>
    <t>Add GET /orders/revenue endpoint</t>
  </si>
  <si>
    <t>4.1 - Order Tracking</t>
  </si>
  <si>
    <t>Add GET /orders/track/{tracking_number}</t>
  </si>
  <si>
    <t>11.0 - Documentation &amp; Training</t>
  </si>
  <si>
    <t>Write one pytest unit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</si>
</sst>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rgb="FF000000"/>
      <name val="Calibri"/>
    </font>
    <font/>
    <font>
      <sz val="15.0"/>
      <color theme="1"/>
      <name val="Calibri"/>
    </font>
    <font>
      <b/>
      <sz val="15.0"/>
      <color rgb="FFFFFFFF"/>
      <name val="Calibri"/>
    </font>
    <font>
      <sz val="15.0"/>
      <color rgb="FF000000"/>
      <name val="Calibri"/>
    </font>
    <font>
      <b/>
      <sz val="15.0"/>
      <color theme="1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/>
    </xf>
    <xf borderId="9" fillId="5" fontId="1" numFmtId="0" xfId="0" applyAlignment="1" applyBorder="1" applyFill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7" fillId="6" fontId="1" numFmtId="0" xfId="0" applyAlignment="1" applyBorder="1" applyFill="1" applyFont="1">
      <alignment readingOrder="0"/>
    </xf>
    <xf borderId="8" fillId="6" fontId="1" numFmtId="0" xfId="0" applyAlignment="1" applyBorder="1" applyFont="1">
      <alignment horizontal="center" readingOrder="0"/>
    </xf>
    <xf borderId="8" fillId="6" fontId="5" numFmtId="0" xfId="0" applyBorder="1" applyFont="1"/>
    <xf borderId="12" fillId="0" fontId="5" numFmtId="0" xfId="0" applyAlignment="1" applyBorder="1" applyFont="1">
      <alignment readingOrder="0"/>
    </xf>
    <xf borderId="13" fillId="0" fontId="2" numFmtId="0" xfId="0" applyBorder="1" applyFont="1"/>
    <xf borderId="13" fillId="0" fontId="5" numFmtId="0" xfId="0" applyAlignment="1" applyBorder="1" applyFont="1">
      <alignment readingOrder="0"/>
    </xf>
    <xf borderId="13" fillId="0" fontId="5" numFmtId="0" xfId="0" applyAlignment="1" applyBorder="1" applyFont="1">
      <alignment horizontal="right" readingOrder="0"/>
    </xf>
    <xf borderId="13" fillId="0" fontId="5" numFmtId="0" xfId="0" applyAlignment="1" applyBorder="1" applyFont="1">
      <alignment horizontal="right"/>
    </xf>
    <xf borderId="14" fillId="7" fontId="4" numFmtId="0" xfId="0" applyBorder="1" applyFill="1" applyFont="1"/>
    <xf borderId="15" fillId="7" fontId="4" numFmtId="0" xfId="0" applyBorder="1" applyFont="1"/>
    <xf borderId="8" fillId="7" fontId="4" numFmtId="0" xfId="0" applyBorder="1" applyFont="1"/>
    <xf borderId="8" fillId="7" fontId="4" numFmtId="0" xfId="0" applyAlignment="1" applyBorder="1" applyFont="1">
      <alignment horizontal="right"/>
    </xf>
    <xf borderId="16" fillId="3" fontId="6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7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vertical="bottom"/>
    </xf>
    <xf borderId="7" fillId="6" fontId="6" numFmtId="0" xfId="0" applyAlignment="1" applyBorder="1" applyFont="1">
      <alignment vertical="bottom"/>
    </xf>
    <xf borderId="8" fillId="6" fontId="6" numFmtId="0" xfId="0" applyAlignment="1" applyBorder="1" applyFont="1">
      <alignment horizontal="center" vertical="bottom"/>
    </xf>
    <xf borderId="8" fillId="6" fontId="7" numFmtId="0" xfId="0" applyAlignment="1" applyBorder="1" applyFont="1">
      <alignment vertical="bottom"/>
    </xf>
    <xf borderId="8" fillId="6" fontId="3" numFmtId="0" xfId="0" applyAlignment="1" applyBorder="1" applyFont="1">
      <alignment horizontal="right"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right" vertical="bottom"/>
    </xf>
    <xf borderId="14" fillId="7" fontId="4" numFmtId="0" xfId="0" applyAlignment="1" applyBorder="1" applyFont="1">
      <alignment vertical="bottom"/>
    </xf>
    <xf borderId="15" fillId="7" fontId="7" numFmtId="0" xfId="0" applyAlignment="1" applyBorder="1" applyFont="1">
      <alignment vertical="bottom"/>
    </xf>
    <xf borderId="8" fillId="7" fontId="7" numFmtId="0" xfId="0" applyAlignment="1" applyBorder="1" applyFont="1">
      <alignment vertical="bottom"/>
    </xf>
    <xf borderId="8" fillId="7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12.63"/>
    <col customWidth="1" min="3" max="3" width="13.0"/>
    <col customWidth="1" min="4" max="4" width="17.63"/>
    <col customWidth="1" min="5" max="6" width="12.63"/>
    <col customWidth="1" min="12" max="12" width="17.25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0" t="s">
        <v>14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3" t="s">
        <v>15</v>
      </c>
      <c r="B5" s="14">
        <v>7.0</v>
      </c>
      <c r="C5" s="15"/>
      <c r="D5" s="15">
        <f t="shared" ref="D5:J5" si="1">SUM(D6:D9)</f>
        <v>13</v>
      </c>
      <c r="E5" s="15">
        <f t="shared" si="1"/>
        <v>7.5</v>
      </c>
      <c r="F5" s="15">
        <f t="shared" si="1"/>
        <v>6</v>
      </c>
      <c r="G5" s="15">
        <f t="shared" si="1"/>
        <v>11</v>
      </c>
      <c r="H5" s="15">
        <f t="shared" si="1"/>
        <v>1</v>
      </c>
      <c r="I5" s="15">
        <f t="shared" si="1"/>
        <v>1</v>
      </c>
      <c r="J5" s="15">
        <f t="shared" si="1"/>
        <v>0</v>
      </c>
      <c r="K5" s="15" t="s">
        <v>16</v>
      </c>
      <c r="L5" s="1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6" t="s">
        <v>17</v>
      </c>
      <c r="B6" s="17"/>
      <c r="C6" s="18" t="s">
        <v>18</v>
      </c>
      <c r="D6" s="19">
        <v>3.0</v>
      </c>
      <c r="E6" s="20">
        <v>5.0</v>
      </c>
      <c r="F6" s="20">
        <v>3.0</v>
      </c>
      <c r="G6" s="20">
        <v>0.0</v>
      </c>
      <c r="H6" s="20">
        <v>0.0</v>
      </c>
      <c r="I6" s="20">
        <v>0.0</v>
      </c>
      <c r="J6" s="20">
        <v>0.0</v>
      </c>
      <c r="K6" s="18" t="s">
        <v>19</v>
      </c>
      <c r="L6" s="19">
        <v>1.0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6" t="s">
        <v>20</v>
      </c>
      <c r="B7" s="17"/>
      <c r="C7" s="18" t="s">
        <v>21</v>
      </c>
      <c r="D7" s="19">
        <v>4.0</v>
      </c>
      <c r="E7" s="20">
        <v>1.0</v>
      </c>
      <c r="F7" s="20">
        <v>1.0</v>
      </c>
      <c r="G7" s="20">
        <v>5.0</v>
      </c>
      <c r="H7" s="20">
        <v>0.0</v>
      </c>
      <c r="I7" s="20">
        <v>1.0</v>
      </c>
      <c r="J7" s="20">
        <v>0.0</v>
      </c>
      <c r="K7" s="18" t="s">
        <v>19</v>
      </c>
      <c r="L7" s="19">
        <v>1.0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6" t="s">
        <v>22</v>
      </c>
      <c r="B8" s="17"/>
      <c r="C8" s="18" t="s">
        <v>21</v>
      </c>
      <c r="D8" s="19">
        <v>4.0</v>
      </c>
      <c r="E8" s="20">
        <v>0.5</v>
      </c>
      <c r="F8" s="20">
        <v>0.0</v>
      </c>
      <c r="G8" s="20">
        <v>3.0</v>
      </c>
      <c r="H8" s="20">
        <v>0.0</v>
      </c>
      <c r="I8" s="20">
        <v>0.0</v>
      </c>
      <c r="J8" s="20">
        <v>0.0</v>
      </c>
      <c r="K8" s="18" t="s">
        <v>19</v>
      </c>
      <c r="L8" s="19">
        <v>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6" t="s">
        <v>23</v>
      </c>
      <c r="B9" s="17"/>
      <c r="C9" s="18" t="s">
        <v>21</v>
      </c>
      <c r="D9" s="19">
        <v>2.0</v>
      </c>
      <c r="E9" s="20">
        <v>1.0</v>
      </c>
      <c r="F9" s="20">
        <v>2.0</v>
      </c>
      <c r="G9" s="20">
        <v>3.0</v>
      </c>
      <c r="H9" s="20">
        <v>1.0</v>
      </c>
      <c r="I9" s="20">
        <v>0.0</v>
      </c>
      <c r="J9" s="20">
        <v>0.0</v>
      </c>
      <c r="K9" s="18" t="s">
        <v>19</v>
      </c>
      <c r="L9" s="19">
        <v>1.0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21" t="s">
        <v>24</v>
      </c>
      <c r="B10" s="22"/>
      <c r="C10" s="23"/>
      <c r="D10" s="24">
        <f t="shared" ref="D10:J10" si="2">D5</f>
        <v>13</v>
      </c>
      <c r="E10" s="24">
        <f t="shared" si="2"/>
        <v>7.5</v>
      </c>
      <c r="F10" s="24">
        <f t="shared" si="2"/>
        <v>6</v>
      </c>
      <c r="G10" s="24">
        <f t="shared" si="2"/>
        <v>11</v>
      </c>
      <c r="H10" s="24">
        <f t="shared" si="2"/>
        <v>1</v>
      </c>
      <c r="I10" s="24">
        <f t="shared" si="2"/>
        <v>1</v>
      </c>
      <c r="J10" s="24">
        <f t="shared" si="2"/>
        <v>0</v>
      </c>
      <c r="K10" s="23"/>
      <c r="L10" s="24">
        <v>14.0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31" t="s">
        <v>2</v>
      </c>
      <c r="B13" s="32" t="s">
        <v>3</v>
      </c>
      <c r="C13" s="32" t="s">
        <v>4</v>
      </c>
      <c r="D13" s="32" t="s">
        <v>5</v>
      </c>
      <c r="E13" s="32" t="s">
        <v>6</v>
      </c>
      <c r="F13" s="32" t="s">
        <v>7</v>
      </c>
      <c r="G13" s="32" t="s">
        <v>8</v>
      </c>
      <c r="H13" s="32" t="s">
        <v>9</v>
      </c>
      <c r="I13" s="32" t="s">
        <v>10</v>
      </c>
      <c r="J13" s="32" t="s">
        <v>11</v>
      </c>
      <c r="K13" s="32" t="s">
        <v>12</v>
      </c>
      <c r="L13" s="32" t="s">
        <v>13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33" t="s">
        <v>26</v>
      </c>
      <c r="B14" s="34">
        <v>5.0</v>
      </c>
      <c r="C14" s="35"/>
      <c r="D14" s="36">
        <f t="shared" ref="D14:J14" si="3">SUM(D15)</f>
        <v>2</v>
      </c>
      <c r="E14" s="36">
        <f t="shared" si="3"/>
        <v>3</v>
      </c>
      <c r="F14" s="36">
        <f t="shared" si="3"/>
        <v>0.5</v>
      </c>
      <c r="G14" s="36">
        <f t="shared" si="3"/>
        <v>0.5</v>
      </c>
      <c r="H14" s="36">
        <f t="shared" si="3"/>
        <v>0</v>
      </c>
      <c r="I14" s="36">
        <f t="shared" si="3"/>
        <v>0</v>
      </c>
      <c r="J14" s="36">
        <f t="shared" si="3"/>
        <v>0</v>
      </c>
      <c r="K14" s="35"/>
      <c r="L14" s="3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37" t="s">
        <v>27</v>
      </c>
      <c r="B15" s="17"/>
      <c r="C15" s="38" t="s">
        <v>18</v>
      </c>
      <c r="D15" s="39">
        <v>2.0</v>
      </c>
      <c r="E15" s="39">
        <v>3.0</v>
      </c>
      <c r="F15" s="39">
        <v>0.5</v>
      </c>
      <c r="G15" s="39">
        <v>0.5</v>
      </c>
      <c r="H15" s="39">
        <v>0.0</v>
      </c>
      <c r="I15" s="39">
        <v>0.0</v>
      </c>
      <c r="J15" s="39">
        <v>0.0</v>
      </c>
      <c r="K15" s="38" t="s">
        <v>19</v>
      </c>
      <c r="L15" s="39">
        <v>2.0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33" t="s">
        <v>28</v>
      </c>
      <c r="B16" s="34">
        <v>5.0</v>
      </c>
      <c r="C16" s="35"/>
      <c r="D16" s="36">
        <f t="shared" ref="D16:J16" si="4">SUM(D17)</f>
        <v>2</v>
      </c>
      <c r="E16" s="36">
        <f t="shared" si="4"/>
        <v>6</v>
      </c>
      <c r="F16" s="36">
        <f t="shared" si="4"/>
        <v>0</v>
      </c>
      <c r="G16" s="36">
        <f t="shared" si="4"/>
        <v>0</v>
      </c>
      <c r="H16" s="36">
        <f t="shared" si="4"/>
        <v>0</v>
      </c>
      <c r="I16" s="36">
        <f t="shared" si="4"/>
        <v>0</v>
      </c>
      <c r="J16" s="36">
        <f t="shared" si="4"/>
        <v>0</v>
      </c>
      <c r="K16" s="35"/>
      <c r="L16" s="3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37" t="s">
        <v>29</v>
      </c>
      <c r="B17" s="17"/>
      <c r="C17" s="38" t="s">
        <v>18</v>
      </c>
      <c r="D17" s="39">
        <v>2.0</v>
      </c>
      <c r="E17" s="39">
        <v>6.0</v>
      </c>
      <c r="F17" s="39">
        <v>0.0</v>
      </c>
      <c r="G17" s="39">
        <v>0.0</v>
      </c>
      <c r="H17" s="39">
        <v>0.0</v>
      </c>
      <c r="I17" s="39">
        <v>0.0</v>
      </c>
      <c r="J17" s="39">
        <v>0.0</v>
      </c>
      <c r="K17" s="38" t="s">
        <v>19</v>
      </c>
      <c r="L17" s="39">
        <v>2.0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33" t="s">
        <v>30</v>
      </c>
      <c r="B18" s="34">
        <v>5.0</v>
      </c>
      <c r="C18" s="35"/>
      <c r="D18" s="36">
        <f t="shared" ref="D18:J18" si="5">SUM(D19)</f>
        <v>2</v>
      </c>
      <c r="E18" s="36">
        <f t="shared" si="5"/>
        <v>4</v>
      </c>
      <c r="F18" s="36">
        <f t="shared" si="5"/>
        <v>2</v>
      </c>
      <c r="G18" s="36">
        <f t="shared" si="5"/>
        <v>2</v>
      </c>
      <c r="H18" s="36">
        <f t="shared" si="5"/>
        <v>1</v>
      </c>
      <c r="I18" s="36">
        <f t="shared" si="5"/>
        <v>1</v>
      </c>
      <c r="J18" s="36">
        <f t="shared" si="5"/>
        <v>0</v>
      </c>
      <c r="K18" s="35"/>
      <c r="L18" s="3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37" t="s">
        <v>31</v>
      </c>
      <c r="B19" s="17"/>
      <c r="C19" s="38" t="s">
        <v>21</v>
      </c>
      <c r="D19" s="39">
        <v>2.0</v>
      </c>
      <c r="E19" s="39">
        <v>4.0</v>
      </c>
      <c r="F19" s="39">
        <v>2.0</v>
      </c>
      <c r="G19" s="39">
        <v>2.0</v>
      </c>
      <c r="H19" s="39">
        <v>1.0</v>
      </c>
      <c r="I19" s="39">
        <v>1.0</v>
      </c>
      <c r="J19" s="39">
        <v>0.0</v>
      </c>
      <c r="K19" s="38" t="s">
        <v>19</v>
      </c>
      <c r="L19" s="39">
        <v>2.0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33" t="s">
        <v>32</v>
      </c>
      <c r="B20" s="34">
        <v>5.0</v>
      </c>
      <c r="C20" s="35"/>
      <c r="D20" s="36">
        <f t="shared" ref="D20:J20" si="6">SUM(D21)</f>
        <v>2</v>
      </c>
      <c r="E20" s="36">
        <f t="shared" si="6"/>
        <v>1</v>
      </c>
      <c r="F20" s="36">
        <f t="shared" si="6"/>
        <v>1</v>
      </c>
      <c r="G20" s="36">
        <f t="shared" si="6"/>
        <v>1</v>
      </c>
      <c r="H20" s="36">
        <f t="shared" si="6"/>
        <v>0.5</v>
      </c>
      <c r="I20" s="36">
        <f t="shared" si="6"/>
        <v>1</v>
      </c>
      <c r="J20" s="36">
        <f t="shared" si="6"/>
        <v>0</v>
      </c>
      <c r="K20" s="35"/>
      <c r="L20" s="3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37" t="s">
        <v>33</v>
      </c>
      <c r="B21" s="17"/>
      <c r="C21" s="38" t="s">
        <v>21</v>
      </c>
      <c r="D21" s="39">
        <v>2.0</v>
      </c>
      <c r="E21" s="39">
        <v>1.0</v>
      </c>
      <c r="F21" s="39">
        <v>1.0</v>
      </c>
      <c r="G21" s="39">
        <v>1.0</v>
      </c>
      <c r="H21" s="39">
        <v>0.5</v>
      </c>
      <c r="I21" s="39">
        <v>1.0</v>
      </c>
      <c r="J21" s="39">
        <v>0.0</v>
      </c>
      <c r="K21" s="38" t="s">
        <v>19</v>
      </c>
      <c r="L21" s="39">
        <v>2.0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33" t="s">
        <v>34</v>
      </c>
      <c r="B22" s="34">
        <v>5.0</v>
      </c>
      <c r="C22" s="35"/>
      <c r="D22" s="36">
        <f t="shared" ref="D22:J22" si="7">SUM(D23)</f>
        <v>2</v>
      </c>
      <c r="E22" s="36">
        <f t="shared" si="7"/>
        <v>1</v>
      </c>
      <c r="F22" s="36">
        <f t="shared" si="7"/>
        <v>1</v>
      </c>
      <c r="G22" s="36">
        <f t="shared" si="7"/>
        <v>1</v>
      </c>
      <c r="H22" s="36">
        <f t="shared" si="7"/>
        <v>0.5</v>
      </c>
      <c r="I22" s="36">
        <f t="shared" si="7"/>
        <v>1</v>
      </c>
      <c r="J22" s="36">
        <f t="shared" si="7"/>
        <v>0</v>
      </c>
      <c r="K22" s="35"/>
      <c r="L22" s="3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37" t="s">
        <v>35</v>
      </c>
      <c r="B23" s="17"/>
      <c r="C23" s="38" t="s">
        <v>21</v>
      </c>
      <c r="D23" s="39">
        <v>2.0</v>
      </c>
      <c r="E23" s="39">
        <v>1.0</v>
      </c>
      <c r="F23" s="39">
        <v>1.0</v>
      </c>
      <c r="G23" s="39">
        <v>1.0</v>
      </c>
      <c r="H23" s="39">
        <v>0.5</v>
      </c>
      <c r="I23" s="39">
        <v>1.0</v>
      </c>
      <c r="J23" s="39">
        <v>0.0</v>
      </c>
      <c r="K23" s="38" t="s">
        <v>19</v>
      </c>
      <c r="L23" s="39">
        <v>2.0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33" t="s">
        <v>36</v>
      </c>
      <c r="B24" s="34">
        <v>8.0</v>
      </c>
      <c r="C24" s="35"/>
      <c r="D24" s="36">
        <f t="shared" ref="D24:J24" si="8">SUM(D25)</f>
        <v>2</v>
      </c>
      <c r="E24" s="36">
        <f t="shared" si="8"/>
        <v>1</v>
      </c>
      <c r="F24" s="36">
        <f t="shared" si="8"/>
        <v>1</v>
      </c>
      <c r="G24" s="36">
        <f t="shared" si="8"/>
        <v>1</v>
      </c>
      <c r="H24" s="36">
        <f t="shared" si="8"/>
        <v>0.5</v>
      </c>
      <c r="I24" s="36">
        <f t="shared" si="8"/>
        <v>1</v>
      </c>
      <c r="J24" s="36">
        <f t="shared" si="8"/>
        <v>0</v>
      </c>
      <c r="K24" s="35"/>
      <c r="L24" s="3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37" t="s">
        <v>37</v>
      </c>
      <c r="B25" s="17"/>
      <c r="C25" s="38" t="s">
        <v>18</v>
      </c>
      <c r="D25" s="39">
        <v>2.0</v>
      </c>
      <c r="E25" s="39">
        <v>1.0</v>
      </c>
      <c r="F25" s="39">
        <v>1.0</v>
      </c>
      <c r="G25" s="39">
        <v>1.0</v>
      </c>
      <c r="H25" s="39">
        <v>0.5</v>
      </c>
      <c r="I25" s="39">
        <v>1.0</v>
      </c>
      <c r="J25" s="39">
        <v>0.0</v>
      </c>
      <c r="K25" s="38" t="s">
        <v>19</v>
      </c>
      <c r="L25" s="39">
        <v>2.0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33" t="s">
        <v>38</v>
      </c>
      <c r="B26" s="34">
        <v>3.0</v>
      </c>
      <c r="C26" s="35"/>
      <c r="D26" s="36">
        <f t="shared" ref="D26:J26" si="9">SUM(D27)</f>
        <v>2</v>
      </c>
      <c r="E26" s="36">
        <f t="shared" si="9"/>
        <v>1</v>
      </c>
      <c r="F26" s="36">
        <f t="shared" si="9"/>
        <v>1</v>
      </c>
      <c r="G26" s="36">
        <f t="shared" si="9"/>
        <v>1</v>
      </c>
      <c r="H26" s="36">
        <f t="shared" si="9"/>
        <v>0.5</v>
      </c>
      <c r="I26" s="36">
        <f t="shared" si="9"/>
        <v>1</v>
      </c>
      <c r="J26" s="36">
        <f t="shared" si="9"/>
        <v>0</v>
      </c>
      <c r="K26" s="35"/>
      <c r="L26" s="3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37" t="s">
        <v>39</v>
      </c>
      <c r="B27" s="17"/>
      <c r="C27" s="38" t="s">
        <v>18</v>
      </c>
      <c r="D27" s="39">
        <v>2.0</v>
      </c>
      <c r="E27" s="39">
        <v>1.0</v>
      </c>
      <c r="F27" s="39">
        <v>1.0</v>
      </c>
      <c r="G27" s="39">
        <v>1.0</v>
      </c>
      <c r="H27" s="39">
        <v>0.5</v>
      </c>
      <c r="I27" s="39">
        <v>1.0</v>
      </c>
      <c r="J27" s="39">
        <v>0.0</v>
      </c>
      <c r="K27" s="38" t="s">
        <v>19</v>
      </c>
      <c r="L27" s="39">
        <v>2.0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33" t="s">
        <v>40</v>
      </c>
      <c r="B28" s="34">
        <v>6.0</v>
      </c>
      <c r="C28" s="35"/>
      <c r="D28" s="36">
        <f t="shared" ref="D28:J28" si="10">SUM(D29)</f>
        <v>2</v>
      </c>
      <c r="E28" s="36">
        <f t="shared" si="10"/>
        <v>1</v>
      </c>
      <c r="F28" s="36">
        <f t="shared" si="10"/>
        <v>1</v>
      </c>
      <c r="G28" s="36">
        <f t="shared" si="10"/>
        <v>1</v>
      </c>
      <c r="H28" s="36">
        <f t="shared" si="10"/>
        <v>0.5</v>
      </c>
      <c r="I28" s="36">
        <f t="shared" si="10"/>
        <v>1</v>
      </c>
      <c r="J28" s="36">
        <f t="shared" si="10"/>
        <v>0</v>
      </c>
      <c r="K28" s="35"/>
      <c r="L28" s="3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37" t="s">
        <v>41</v>
      </c>
      <c r="B29" s="17"/>
      <c r="C29" s="38" t="s">
        <v>18</v>
      </c>
      <c r="D29" s="39">
        <v>2.0</v>
      </c>
      <c r="E29" s="39">
        <v>1.0</v>
      </c>
      <c r="F29" s="39">
        <v>1.0</v>
      </c>
      <c r="G29" s="39">
        <v>1.0</v>
      </c>
      <c r="H29" s="39">
        <v>0.5</v>
      </c>
      <c r="I29" s="39">
        <v>1.0</v>
      </c>
      <c r="J29" s="39">
        <v>0.0</v>
      </c>
      <c r="K29" s="38" t="s">
        <v>19</v>
      </c>
      <c r="L29" s="39">
        <v>2.0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0" t="s">
        <v>24</v>
      </c>
      <c r="B30" s="41"/>
      <c r="C30" s="42"/>
      <c r="D30" s="43">
        <f t="shared" ref="D30:J30" si="11">D14+D16+D18+D20+D22+D24+D26+D28</f>
        <v>16</v>
      </c>
      <c r="E30" s="43">
        <f t="shared" si="11"/>
        <v>18</v>
      </c>
      <c r="F30" s="43">
        <f t="shared" si="11"/>
        <v>7.5</v>
      </c>
      <c r="G30" s="43">
        <f t="shared" si="11"/>
        <v>7.5</v>
      </c>
      <c r="H30" s="43">
        <f t="shared" si="11"/>
        <v>3.5</v>
      </c>
      <c r="I30" s="43">
        <f t="shared" si="11"/>
        <v>6</v>
      </c>
      <c r="J30" s="43">
        <f t="shared" si="11"/>
        <v>0</v>
      </c>
      <c r="K30" s="42"/>
      <c r="L30" s="43">
        <v>14.0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</sheetData>
  <mergeCells count="16">
    <mergeCell ref="A1:L1"/>
    <mergeCell ref="A2:L2"/>
    <mergeCell ref="A4:L4"/>
    <mergeCell ref="A6:B6"/>
    <mergeCell ref="A7:B7"/>
    <mergeCell ref="A8:B8"/>
    <mergeCell ref="A11:L12"/>
    <mergeCell ref="A27:B27"/>
    <mergeCell ref="A29:B29"/>
    <mergeCell ref="A9:B9"/>
    <mergeCell ref="A15:B15"/>
    <mergeCell ref="A17:B17"/>
    <mergeCell ref="A19:B19"/>
    <mergeCell ref="A21:B21"/>
    <mergeCell ref="A23:B23"/>
    <mergeCell ref="A25:B25"/>
  </mergeCells>
  <dataValidations>
    <dataValidation type="list" allowBlank="1" showErrorMessage="1" sqref="K5:K9 K14:K29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